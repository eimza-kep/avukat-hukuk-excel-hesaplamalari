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a Harç ve Gider Avan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36" customWidth="1" min="3" max="3"/>
    <col width="49" customWidth="1" min="4" max="4"/>
  </cols>
  <sheetData>
    <row r="1" ht="35" customHeight="1">
      <c r="A1" s="1" t="inlineStr">
        <is>
          <t>HUKUK MAHKEMELERİ DAVA HARÇ VE GİDER AVANSI HESAPLAYICI</t>
        </is>
      </c>
    </row>
    <row r="2"/>
    <row r="3" ht="28" customHeight="1">
      <c r="A3" s="2" t="inlineStr">
        <is>
          <t>Harç ve Masraf Kalemi</t>
        </is>
      </c>
      <c r="B3" s="2" t="inlineStr">
        <is>
          <t>Tutar (TL)</t>
        </is>
      </c>
      <c r="C3" s="2" t="inlineStr">
        <is>
          <t>Yasal Oran / Dayanak</t>
        </is>
      </c>
      <c r="D3" s="2" t="inlineStr">
        <is>
          <t>Açıklama</t>
        </is>
      </c>
    </row>
    <row r="4">
      <c r="A4" s="3" t="inlineStr">
        <is>
          <t>Dava Değeri (Talep Edilen Tutar)</t>
        </is>
      </c>
      <c r="B4" s="4" t="n">
        <v>350000</v>
      </c>
      <c r="C4" s="5" t="inlineStr">
        <is>
          <t>Dava müddeabihi</t>
        </is>
      </c>
      <c r="D4" s="3" t="inlineStr">
        <is>
          <t>Harca esas değer</t>
        </is>
      </c>
    </row>
    <row r="5">
      <c r="A5" s="3" t="inlineStr">
        <is>
          <t>Başvurma Harcı (Maktu)</t>
        </is>
      </c>
      <c r="B5" s="4" t="n">
        <v>427.6</v>
      </c>
      <c r="C5" s="5" t="inlineStr">
        <is>
          <t>Harçlar Kanunu (1) Sayılı Tarife</t>
        </is>
      </c>
      <c r="D5" s="3" t="inlineStr">
        <is>
          <t>Dava açılış maktu harcı</t>
        </is>
      </c>
    </row>
    <row r="6">
      <c r="A6" s="3" t="inlineStr">
        <is>
          <t>Nispi Karar ve İlam Harcı (Binde 68.31)</t>
        </is>
      </c>
      <c r="B6" s="4">
        <f>B4*0.06831</f>
        <v/>
      </c>
      <c r="C6" s="5" t="inlineStr">
        <is>
          <t>Binde 68.31</t>
        </is>
      </c>
      <c r="D6" s="3" t="inlineStr">
        <is>
          <t>Toplam hüküm harcı</t>
        </is>
      </c>
    </row>
    <row r="7">
      <c r="A7" s="3" t="inlineStr">
        <is>
          <t>Peşin Harç (Karar Harcının Dörtte Biri)</t>
        </is>
      </c>
      <c r="B7" s="4">
        <f>B6/4</f>
        <v/>
      </c>
      <c r="C7" s="5" t="inlineStr">
        <is>
          <t>1/4 Peşin ödenir</t>
        </is>
      </c>
      <c r="D7" s="3" t="inlineStr">
        <is>
          <t>Dava açarken vezneye yatan</t>
        </is>
      </c>
    </row>
    <row r="8">
      <c r="A8" s="3" t="inlineStr">
        <is>
          <t>Vekalet Harcı (Maktu)</t>
        </is>
      </c>
      <c r="B8" s="4" t="n">
        <v>60.8</v>
      </c>
      <c r="C8" s="5" t="inlineStr">
        <is>
          <t>Maktu harç</t>
        </is>
      </c>
      <c r="D8" s="3" t="inlineStr">
        <is>
          <t>Baro vekaletname harcı</t>
        </is>
      </c>
    </row>
    <row r="9">
      <c r="A9" s="3" t="inlineStr">
        <is>
          <t>Vekalet Pulu (Baro Pulu)</t>
        </is>
      </c>
      <c r="B9" s="4" t="n">
        <v>96</v>
      </c>
      <c r="C9" s="5" t="inlineStr">
        <is>
          <t>TBB Tarifesi</t>
        </is>
      </c>
      <c r="D9" s="3" t="inlineStr">
        <is>
          <t>Avukat baro payı</t>
        </is>
      </c>
    </row>
    <row r="10">
      <c r="A10" s="3" t="inlineStr">
        <is>
          <t>Gider Avansı - Tebligat Gideri (2 Taraf)</t>
        </is>
      </c>
      <c r="B10" s="4" t="n">
        <v>450</v>
      </c>
      <c r="C10" s="5" t="inlineStr">
        <is>
          <t>HMK Madde 120</t>
        </is>
      </c>
      <c r="D10" s="3" t="inlineStr">
        <is>
          <t>Dava dilekçesi tebliği</t>
        </is>
      </c>
    </row>
    <row r="11">
      <c r="A11" s="3" t="inlineStr">
        <is>
          <t>Gider Avansı - Bilirkişi &amp; Keşif Avansı</t>
        </is>
      </c>
      <c r="B11" s="4" t="n">
        <v>3500</v>
      </c>
      <c r="C11" s="5" t="inlineStr">
        <is>
          <t>Adalet Bakanlığı Tarifesi</t>
        </is>
      </c>
      <c r="D11" s="3" t="inlineStr">
        <is>
          <t>Delil ve inceleme gideri</t>
        </is>
      </c>
    </row>
    <row r="12">
      <c r="A12" s="3" t="inlineStr">
        <is>
          <t>Gider Avansı - Diğer İş ve Yazışmalar</t>
        </is>
      </c>
      <c r="B12" s="4" t="n">
        <v>650</v>
      </c>
      <c r="C12" s="5" t="inlineStr">
        <is>
          <t>Posta &amp; müzekkere</t>
        </is>
      </c>
      <c r="D12" s="3" t="inlineStr">
        <is>
          <t>Dosya masraf avansı</t>
        </is>
      </c>
    </row>
    <row r="13">
      <c r="A13" s="6" t="inlineStr">
        <is>
          <t>DAVA AÇILIŞINDA VEZNEYE YATIRILACAK TOPLAM AVANS &amp; HARÇ</t>
        </is>
      </c>
      <c r="B13" s="7">
        <f>B5+B7+B8+B9+B10+B11+B12</f>
        <v/>
      </c>
      <c r="C13" s="8" t="inlineStr">
        <is>
          <t>Genel Toplam</t>
        </is>
      </c>
      <c r="D13" s="9" t="inlineStr">
        <is>
          <t>Dava açılırken mahkeme veznesine ödenen tutar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