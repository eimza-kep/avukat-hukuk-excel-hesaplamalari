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z Hesapl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TL&quot;"/>
    <numFmt numFmtId="165" formatCode="0.0%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0F172A"/>
      <sz val="11"/>
    </font>
  </fonts>
  <fills count="4">
    <fill>
      <patternFill/>
    </fill>
    <fill>
      <patternFill patternType="gray125"/>
    </fill>
    <fill>
      <patternFill patternType="solid">
        <fgColor rgb="00881337"/>
        <bgColor rgb="00881337"/>
      </patternFill>
    </fill>
    <fill>
      <patternFill patternType="solid">
        <fgColor rgb="00FFF1F2"/>
        <bgColor rgb="00FFF1F2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164" fontId="3" fillId="0" borderId="1" pivotButton="0" quotePrefix="0" xfId="0"/>
    <xf numFmtId="165" fontId="3" fillId="0" borderId="1" applyAlignment="1" pivotButton="0" quotePrefix="0" xfId="0">
      <alignment horizontal="center"/>
    </xf>
    <xf numFmtId="0" fontId="4" fillId="3" borderId="2" pivotButton="0" quotePrefix="0" xfId="0"/>
    <xf numFmtId="0" fontId="4" fillId="3" borderId="2" applyAlignment="1" pivotButton="0" quotePrefix="0" xfId="0">
      <alignment horizontal="center"/>
    </xf>
    <xf numFmtId="164" fontId="4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3" customWidth="1" min="1" max="1"/>
    <col width="16" customWidth="1" min="2" max="2"/>
    <col width="14" customWidth="1" min="3" max="3"/>
    <col width="31" customWidth="1" min="4" max="4"/>
    <col width="27" customWidth="1" min="5" max="5"/>
    <col width="28" customWidth="1" min="6" max="6"/>
    <col width="25" customWidth="1" min="7" max="7"/>
  </cols>
  <sheetData>
    <row r="1" ht="35" customHeight="1">
      <c r="A1" s="1" t="inlineStr">
        <is>
          <t>3095 SAYILI KANUN KAPSAMINDA YASAL VE TİCARİ TEMERRÜT FAİZİ</t>
        </is>
      </c>
    </row>
    <row r="2"/>
    <row r="3" ht="28" customHeight="1">
      <c r="A3" s="2" t="inlineStr">
        <is>
          <t>Faiz Dönemi / Başlangıç - Bitiş</t>
        </is>
      </c>
      <c r="B3" s="2" t="inlineStr">
        <is>
          <t>Anapara (TL)</t>
        </is>
      </c>
      <c r="C3" s="2" t="inlineStr">
        <is>
          <t>Gün Sayısı</t>
        </is>
      </c>
      <c r="D3" s="2" t="inlineStr">
        <is>
          <t>Uygulanan Yıllık Faiz Oranı</t>
        </is>
      </c>
      <c r="E3" s="2" t="inlineStr">
        <is>
          <t>Faiz Türü</t>
        </is>
      </c>
      <c r="F3" s="2" t="inlineStr">
        <is>
          <t>İşlemiş Faiz Tutarı (TL)</t>
        </is>
      </c>
      <c r="G3" s="2" t="inlineStr">
        <is>
          <t>Kümülatif Toplam (TL)</t>
        </is>
      </c>
    </row>
    <row r="4">
      <c r="A4" s="3" t="inlineStr">
        <is>
          <t>01.01.2024 - 31.05.2024</t>
        </is>
      </c>
      <c r="B4" s="4" t="n">
        <v>200000</v>
      </c>
      <c r="C4" s="3" t="n">
        <v>151</v>
      </c>
      <c r="D4" s="5" t="n">
        <v>0.09</v>
      </c>
      <c r="E4" s="3" t="inlineStr">
        <is>
          <t>Yasal Faiz (Eski Oran)</t>
        </is>
      </c>
      <c r="F4" s="4">
        <f>(B4*C4*D4)/365</f>
        <v/>
      </c>
      <c r="G4" s="4">
        <f>B4+F4</f>
        <v/>
      </c>
    </row>
    <row r="5">
      <c r="A5" s="3" t="inlineStr">
        <is>
          <t>01.06.2024 - 31.12.2024</t>
        </is>
      </c>
      <c r="B5" s="4" t="n">
        <v>200000</v>
      </c>
      <c r="C5" s="3" t="n">
        <v>214</v>
      </c>
      <c r="D5" s="5" t="n">
        <v>0.24</v>
      </c>
      <c r="E5" s="3" t="inlineStr">
        <is>
          <t>Yasal Faiz (Güncel %24)</t>
        </is>
      </c>
      <c r="F5" s="4">
        <f>(B5*C5*D5)/365</f>
        <v/>
      </c>
      <c r="G5" s="4">
        <f>B5+F5</f>
        <v/>
      </c>
    </row>
    <row r="6">
      <c r="A6" s="3" t="inlineStr">
        <is>
          <t>01.01.2025 - 31.12.2025</t>
        </is>
      </c>
      <c r="B6" s="4" t="n">
        <v>200000</v>
      </c>
      <c r="C6" s="3" t="n">
        <v>365</v>
      </c>
      <c r="D6" s="5" t="n">
        <v>0.24</v>
      </c>
      <c r="E6" s="3" t="inlineStr">
        <is>
          <t>Yasal Faiz (%24)</t>
        </is>
      </c>
      <c r="F6" s="4">
        <f>(B6*C6*D6)/365</f>
        <v/>
      </c>
      <c r="G6" s="4">
        <f>B6+F6</f>
        <v/>
      </c>
    </row>
    <row r="7">
      <c r="A7" s="3" t="inlineStr">
        <is>
          <t>01.01.2026 - 30.04.2026</t>
        </is>
      </c>
      <c r="B7" s="4" t="n">
        <v>200000</v>
      </c>
      <c r="C7" s="3" t="n">
        <v>120</v>
      </c>
      <c r="D7" s="5" t="n">
        <v>0.24</v>
      </c>
      <c r="E7" s="3" t="inlineStr">
        <is>
          <t>Yasal Faiz (%24)</t>
        </is>
      </c>
      <c r="F7" s="4">
        <f>(B7*C7*D7)/365</f>
        <v/>
      </c>
      <c r="G7" s="4">
        <f>B7+F7</f>
        <v/>
      </c>
    </row>
    <row r="8">
      <c r="A8" s="6" t="inlineStr">
        <is>
          <t>GENEL FAİZ TOPLAMI</t>
        </is>
      </c>
      <c r="B8" s="6" t="n"/>
      <c r="C8" s="7">
        <f>SUM(C4:C7)</f>
        <v/>
      </c>
      <c r="D8" s="6" t="n"/>
      <c r="E8" s="6" t="n"/>
      <c r="F8" s="8">
        <f>SUM(F4:F7)</f>
        <v/>
      </c>
      <c r="G8" s="8">
        <f>B4+F8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2026-09-20T08:38:13Z</dcterms:created>
  <dcterms:modified xsi:type="dcterms:W3CDTF">2026-09-20T08:38:13Z</dcterms:modified>
</cp:coreProperties>
</file>