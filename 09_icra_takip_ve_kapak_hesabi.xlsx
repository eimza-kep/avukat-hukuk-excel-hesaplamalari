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İcra Kapak Hesab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TL&quot;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b val="1"/>
      <color rgb="000F172A"/>
      <sz val="11"/>
    </font>
  </fonts>
  <fills count="4">
    <fill>
      <patternFill/>
    </fill>
    <fill>
      <patternFill patternType="gray125"/>
    </fill>
    <fill>
      <patternFill patternType="solid">
        <fgColor rgb="00881337"/>
        <bgColor rgb="00881337"/>
      </patternFill>
    </fill>
    <fill>
      <patternFill patternType="solid">
        <fgColor rgb="00FFF1F2"/>
        <bgColor rgb="00FFF1F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164" fontId="3" fillId="0" borderId="1" pivotButton="0" quotePrefix="0" xfId="0"/>
    <xf numFmtId="0" fontId="0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3" borderId="1" pivotButton="0" quotePrefix="0" xfId="0"/>
    <xf numFmtId="164" fontId="4" fillId="3" borderId="1" pivotButton="0" quotePrefix="0" xfId="0"/>
    <xf numFmtId="0" fontId="0" fillId="3" borderId="1" applyAlignment="1" pivotButton="0" quotePrefix="0" xfId="0">
      <alignment horizontal="center"/>
    </xf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3" customWidth="1" min="1" max="1"/>
    <col width="14" customWidth="1" min="2" max="2"/>
    <col width="30" customWidth="1" min="3" max="3"/>
    <col width="45" customWidth="1" min="4" max="4"/>
  </cols>
  <sheetData>
    <row r="1" ht="35" customHeight="1">
      <c r="A1" s="1" t="inlineStr">
        <is>
          <t>İCRA DAİRESİ DOSYA KAPAK HESABI VE BORÇ ÇİZELGESİ</t>
        </is>
      </c>
    </row>
    <row r="2"/>
    <row r="3" ht="28" customHeight="1">
      <c r="A3" s="2" t="inlineStr">
        <is>
          <t>İcra Hesap Kalemi</t>
        </is>
      </c>
      <c r="B3" s="2" t="inlineStr">
        <is>
          <t>Tutar (TL)</t>
        </is>
      </c>
      <c r="C3" s="2" t="inlineStr">
        <is>
          <t>Oran / Yasal Oran</t>
        </is>
      </c>
      <c r="D3" s="2" t="inlineStr">
        <is>
          <t>Açıklama</t>
        </is>
      </c>
    </row>
    <row r="4">
      <c r="A4" s="3" t="inlineStr">
        <is>
          <t>Asıl Alacak Tutarı</t>
        </is>
      </c>
      <c r="B4" s="4" t="n">
        <v>150000</v>
      </c>
      <c r="C4" s="5" t="inlineStr">
        <is>
          <t>Talep edilen borç</t>
        </is>
      </c>
      <c r="D4" s="3" t="inlineStr">
        <is>
          <t>Takip talebindeki asıl alacak</t>
        </is>
      </c>
    </row>
    <row r="5">
      <c r="A5" s="3" t="inlineStr">
        <is>
          <t>Takip Öncesi İşlemiş Faiz</t>
        </is>
      </c>
      <c r="B5" s="4" t="n">
        <v>8500</v>
      </c>
      <c r="C5" s="5" t="inlineStr">
        <is>
          <t>Vade-takip arası</t>
        </is>
      </c>
      <c r="D5" s="3" t="inlineStr">
        <is>
          <t>Temerrüt faizi</t>
        </is>
      </c>
    </row>
    <row r="6">
      <c r="A6" s="3" t="inlineStr">
        <is>
          <t>Takip Sonrası İşlemiş Faiz</t>
        </is>
      </c>
      <c r="B6" s="4" t="n">
        <v>18250</v>
      </c>
      <c r="C6" s="5" t="inlineStr">
        <is>
          <t>Takip-hesap arası</t>
        </is>
      </c>
      <c r="D6" s="3" t="inlineStr">
        <is>
          <t>Günün faizi</t>
        </is>
      </c>
    </row>
    <row r="7">
      <c r="A7" s="3" t="inlineStr">
        <is>
          <t>Takip Masrafları (Tebligat, Müzekkere, Posta)</t>
        </is>
      </c>
      <c r="B7" s="4" t="n">
        <v>1450</v>
      </c>
      <c r="C7" s="5" t="inlineStr">
        <is>
          <t>Belgeli masraflar</t>
        </is>
      </c>
      <c r="D7" s="3" t="inlineStr">
        <is>
          <t>İcra dairesi masrafları</t>
        </is>
      </c>
    </row>
    <row r="8">
      <c r="A8" s="3" t="inlineStr">
        <is>
          <t>İcra Peşin Harcı (Takip Açılışında Ödenen)</t>
        </is>
      </c>
      <c r="B8" s="4" t="n">
        <v>750</v>
      </c>
      <c r="C8" s="5" t="inlineStr">
        <is>
          <t>Binde 5</t>
        </is>
      </c>
      <c r="D8" s="3" t="inlineStr">
        <is>
          <t>Borçludan tahsil edilir</t>
        </is>
      </c>
    </row>
    <row r="9">
      <c r="A9" s="3" t="inlineStr">
        <is>
          <t>İCRA VEKALET ÜCRETİ (AAÜT)</t>
        </is>
      </c>
      <c r="B9" s="4" t="n">
        <v>24000</v>
      </c>
      <c r="C9" s="5" t="inlineStr">
        <is>
          <t>Nispi vekalet</t>
        </is>
      </c>
      <c r="D9" s="3" t="inlineStr">
        <is>
          <t>İİK Madde 138</t>
        </is>
      </c>
    </row>
    <row r="10">
      <c r="A10" s="6" t="inlineStr">
        <is>
          <t>TOPLAM ALACAK (HARÇLAR HARİÇ)</t>
        </is>
      </c>
      <c r="B10" s="7">
        <f>SUM(B4:B9)</f>
        <v/>
      </c>
      <c r="C10" s="5" t="inlineStr">
        <is>
          <t>Kapak alt toplamı</t>
        </is>
      </c>
      <c r="D10" s="3" t="inlineStr">
        <is>
          <t>Alacaklıya ödenecek kısım</t>
        </is>
      </c>
    </row>
    <row r="11">
      <c r="A11" s="3" t="inlineStr">
        <is>
          <t>İcra Tahsil Harcı (Hacizden Sonra %9.10)</t>
        </is>
      </c>
      <c r="B11" s="4">
        <f>B10*0.091</f>
        <v/>
      </c>
      <c r="C11" s="5" t="inlineStr">
        <is>
          <t>%9.10</t>
        </is>
      </c>
      <c r="D11" s="3" t="inlineStr">
        <is>
          <t>Devlete giden tahsil harcı</t>
        </is>
      </c>
    </row>
    <row r="12">
      <c r="A12" s="3" t="inlineStr">
        <is>
          <t>Cezaevi Yapı Pulu Harcı (%2)</t>
        </is>
      </c>
      <c r="B12" s="4">
        <f>B4*0.02</f>
        <v/>
      </c>
      <c r="C12" s="5" t="inlineStr">
        <is>
          <t>%2 (Asıl Alacak Üzerinden)</t>
        </is>
      </c>
      <c r="D12" s="3" t="inlineStr">
        <is>
          <t>Cezaevi Fonu payı</t>
        </is>
      </c>
    </row>
    <row r="13">
      <c r="A13" s="8" t="inlineStr">
        <is>
          <t>TOPLAM DOSYA BORCU (KAPAK HESABI)</t>
        </is>
      </c>
      <c r="B13" s="9">
        <f>B10+B11+B12</f>
        <v/>
      </c>
      <c r="C13" s="10" t="inlineStr">
        <is>
          <t>Genel Toplam</t>
        </is>
      </c>
      <c r="D13" s="11" t="inlineStr">
        <is>
          <t>Borçlunun dosyayı kapatmak için ödeyeceği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2026-09-20T08:38:13Z</dcterms:created>
  <dcterms:modified xsi:type="dcterms:W3CDTF">2026-09-20T08:38:13Z</dcterms:modified>
</cp:coreProperties>
</file>