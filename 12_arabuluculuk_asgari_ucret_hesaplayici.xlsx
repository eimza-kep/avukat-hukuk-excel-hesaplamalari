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buluculuk Ücr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TL&quot;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172A"/>
      <sz val="11"/>
    </font>
    <font>
      <name val="Segoe UI"/>
      <b val="1"/>
      <color rgb="00FFFFFF"/>
      <sz val="11"/>
    </font>
    <font>
      <name val="Segoe U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881337"/>
        <bgColor rgb="00881337"/>
      </patternFill>
    </fill>
    <fill>
      <patternFill patternType="solid">
        <fgColor rgb="00EFF6FF"/>
        <bgColor rgb="00EFF6FF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6" customWidth="1" min="1" max="1"/>
    <col width="21" customWidth="1" min="2" max="2"/>
    <col width="27" customWidth="1" min="3" max="3"/>
    <col width="25" customWidth="1" min="4" max="4"/>
    <col width="15" customWidth="1" min="5" max="5"/>
  </cols>
  <sheetData>
    <row r="1" ht="35" customHeight="1">
      <c r="A1" s="1" t="inlineStr">
        <is>
          <t>ARABULUCULUK ASGARİ ÜCRET TARİFESİ HESAPLAMA TABLOSU</t>
        </is>
      </c>
    </row>
    <row r="2"/>
    <row r="3">
      <c r="A3" s="2" t="inlineStr">
        <is>
          <t>Uyuşmazlık / Anlaşma Tutarı (TL):</t>
        </is>
      </c>
      <c r="B3" s="3" t="n">
        <v>280000</v>
      </c>
    </row>
    <row r="4"/>
    <row r="5" ht="28" customHeight="1">
      <c r="A5" s="4" t="inlineStr">
        <is>
          <t>Dilim Aralığı</t>
        </is>
      </c>
      <c r="B5" s="4" t="inlineStr">
        <is>
          <t>Dilim Tavanı (TL)</t>
        </is>
      </c>
      <c r="C5" s="4" t="inlineStr">
        <is>
          <t>Tek Arabulucu Oranı (%)</t>
        </is>
      </c>
      <c r="D5" s="4" t="inlineStr">
        <is>
          <t>Hesaplanan Ücret (TL)</t>
        </is>
      </c>
      <c r="E5" s="4" t="inlineStr">
        <is>
          <t>Açıklama</t>
        </is>
      </c>
    </row>
    <row r="6">
      <c r="A6" s="5" t="inlineStr">
        <is>
          <t>İlk 100.000 TL için</t>
        </is>
      </c>
      <c r="B6" s="6" t="n">
        <v>100000</v>
      </c>
      <c r="C6" s="7" t="n">
        <v>0.06</v>
      </c>
      <c r="D6" s="6">
        <f>MIN($B$3, B6)*C6</f>
        <v/>
      </c>
      <c r="E6" s="5" t="inlineStr">
        <is>
          <t>1. Dilim %6</t>
        </is>
      </c>
    </row>
    <row r="7">
      <c r="A7" s="5" t="inlineStr">
        <is>
          <t>Sonraki 160.000 TL için (260.000 TL'ye kadar)</t>
        </is>
      </c>
      <c r="B7" s="6" t="n">
        <v>160000</v>
      </c>
      <c r="C7" s="7" t="n">
        <v>0.05</v>
      </c>
      <c r="D7" s="6">
        <f>MAX(0, MIN($B$3-100000, B7))*C7</f>
        <v/>
      </c>
      <c r="E7" s="5" t="inlineStr">
        <is>
          <t>2. Dilim %5</t>
        </is>
      </c>
    </row>
    <row r="8">
      <c r="A8" s="5" t="inlineStr">
        <is>
          <t>Sonraki 260.000 TL için (520.000 TL'ye kadar)</t>
        </is>
      </c>
      <c r="B8" s="6" t="n">
        <v>260000</v>
      </c>
      <c r="C8" s="7" t="n">
        <v>0.04</v>
      </c>
      <c r="D8" s="6">
        <f>MAX(0, MIN($B$3-260000, B8))*C8</f>
        <v/>
      </c>
      <c r="E8" s="5" t="inlineStr">
        <is>
          <t>3. Dilim %4</t>
        </is>
      </c>
    </row>
    <row r="9">
      <c r="A9" s="5" t="inlineStr">
        <is>
          <t>Sonraki 520.000 TL için (1.040.000 TL'ye kadar)</t>
        </is>
      </c>
      <c r="B9" s="6" t="n">
        <v>520000</v>
      </c>
      <c r="C9" s="7" t="n">
        <v>0.03</v>
      </c>
      <c r="D9" s="6">
        <f>MAX(0, MIN($B$3-520000, B9))*C9</f>
        <v/>
      </c>
      <c r="E9" s="5" t="inlineStr">
        <is>
          <t>4. Dilim %3</t>
        </is>
      </c>
    </row>
    <row r="10"/>
    <row r="11">
      <c r="A11" s="8" t="inlineStr">
        <is>
          <t>TOPLAM ARABULUCULUK ÜCRETİ (KDV HARİÇ)</t>
        </is>
      </c>
      <c r="B11" s="9" t="n"/>
      <c r="C11" s="9" t="n"/>
      <c r="D11" s="6">
        <f>SUM(D6:D9)</f>
        <v/>
      </c>
      <c r="E11" s="9" t="n"/>
    </row>
    <row r="12">
      <c r="A12" s="5" t="inlineStr">
        <is>
          <t>Tarafların Her Birine Düşen Pay (%50)</t>
        </is>
      </c>
      <c r="B12" s="9" t="n"/>
      <c r="C12" s="9" t="n"/>
      <c r="D12" s="6">
        <f>D11/2</f>
        <v/>
      </c>
      <c r="E12" s="9" t="n"/>
    </row>
    <row r="13">
      <c r="A13" s="5" t="inlineStr">
        <is>
          <t>KDV Tutarı (%20)</t>
        </is>
      </c>
      <c r="B13" s="9" t="n"/>
      <c r="C13" s="9" t="n"/>
      <c r="D13" s="6">
        <f>D11*0.20</f>
        <v/>
      </c>
      <c r="E13" s="9" t="n"/>
    </row>
    <row r="14">
      <c r="A14" s="10" t="inlineStr">
        <is>
          <t>GENEL TOPLAM (KDV DAHİL)</t>
        </is>
      </c>
      <c r="B14" s="10" t="n"/>
      <c r="C14" s="10" t="n"/>
      <c r="D14" s="11">
        <f>D11+D13</f>
        <v/>
      </c>
      <c r="E14" s="10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