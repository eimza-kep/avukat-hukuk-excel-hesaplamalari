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İşe İade Alacak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TL&quot;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0F172A"/>
      <sz val="11"/>
    </font>
  </fonts>
  <fills count="4">
    <fill>
      <patternFill/>
    </fill>
    <fill>
      <patternFill patternType="gray125"/>
    </fill>
    <fill>
      <patternFill patternType="solid">
        <fgColor rgb="00881337"/>
        <bgColor rgb="00881337"/>
      </patternFill>
    </fill>
    <fill>
      <patternFill patternType="solid">
        <fgColor rgb="00FFF1F2"/>
        <bgColor rgb="00FFF1F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3" fillId="0" borderId="1" pivotButton="0" quotePrefix="0" xfId="0"/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0" fontId="0" fillId="3" borderId="1" applyAlignment="1" pivotButton="0" quotePrefix="0" xfId="0">
      <alignment horizontal="center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2" customWidth="1" min="1" max="1"/>
    <col width="25" customWidth="1" min="2" max="2"/>
    <col width="22" customWidth="1" min="3" max="3"/>
    <col width="48" customWidth="1" min="4" max="4"/>
  </cols>
  <sheetData>
    <row r="1" ht="35" customHeight="1">
      <c r="A1" s="1" t="inlineStr">
        <is>
          <t>İŞE İADE VE İŞÇİLİK ALACAKLARI HESAPLAMA TABLOSU</t>
        </is>
      </c>
    </row>
    <row r="2"/>
    <row r="3" ht="28" customHeight="1">
      <c r="A3" s="2" t="inlineStr">
        <is>
          <t>Alacak / Tazminat Kalemi</t>
        </is>
      </c>
      <c r="B3" s="2" t="inlineStr">
        <is>
          <t>Hesaplanan Tutar (TL)</t>
        </is>
      </c>
      <c r="C3" s="2" t="inlineStr">
        <is>
          <t>Ay Sayısı / Oran</t>
        </is>
      </c>
      <c r="D3" s="2" t="inlineStr">
        <is>
          <t>Yasal Kural (4857 Sayılı Kanun)</t>
        </is>
      </c>
    </row>
    <row r="4">
      <c r="A4" s="3" t="inlineStr">
        <is>
          <t>Giydirilmiş Brüt Aylık Ücret</t>
        </is>
      </c>
      <c r="B4" s="4" t="n">
        <v>38000</v>
      </c>
      <c r="C4" s="5" t="inlineStr">
        <is>
          <t>1 Ay</t>
        </is>
      </c>
      <c r="D4" s="3" t="inlineStr">
        <is>
          <t>Ücret + Nakit Ekler</t>
        </is>
      </c>
    </row>
    <row r="5">
      <c r="A5" s="3" t="inlineStr">
        <is>
          <t>Boşta Geçen Süre Ücreti (En Fazla 4 Ay)</t>
        </is>
      </c>
      <c r="B5" s="4">
        <f>B4*4</f>
        <v/>
      </c>
      <c r="C5" s="5" t="inlineStr">
        <is>
          <t>4 Ay (Yasal Azami)</t>
        </is>
      </c>
      <c r="D5" s="3" t="inlineStr">
        <is>
          <t>Madde 21/3 uyarınca azami 4 ay</t>
        </is>
      </c>
    </row>
    <row r="6">
      <c r="A6" s="3" t="inlineStr">
        <is>
          <t>Boşta Geçen Süre SGK İşçi Payı Kesintisi (%14)</t>
        </is>
      </c>
      <c r="B6" s="4">
        <f>B5*0.14</f>
        <v/>
      </c>
      <c r="C6" s="5" t="inlineStr">
        <is>
          <t>%14</t>
        </is>
      </c>
      <c r="D6" s="3" t="inlineStr">
        <is>
          <t>SGK primi kesilir</t>
        </is>
      </c>
    </row>
    <row r="7">
      <c r="A7" s="3" t="inlineStr">
        <is>
          <t>Boşta Geçen Süre Gelir Vergisi Kesintisi (%15)</t>
        </is>
      </c>
      <c r="B7" s="4">
        <f>B5*0.15</f>
        <v/>
      </c>
      <c r="C7" s="5" t="inlineStr">
        <is>
          <t>%15</t>
        </is>
      </c>
      <c r="D7" s="3" t="inlineStr">
        <is>
          <t>Gelir vergisi kesilir</t>
        </is>
      </c>
    </row>
    <row r="8">
      <c r="A8" s="3" t="inlineStr">
        <is>
          <t>Boşta Geçen Süre Damga Vergisi (Binde 7.59)</t>
        </is>
      </c>
      <c r="B8" s="4">
        <f>B5*0.00759</f>
        <v/>
      </c>
      <c r="C8" s="5" t="inlineStr">
        <is>
          <t>Binde 7.59</t>
        </is>
      </c>
      <c r="D8" s="3" t="inlineStr">
        <is>
          <t>Damga vergisi kesilir</t>
        </is>
      </c>
    </row>
    <row r="9">
      <c r="A9" s="6" t="inlineStr">
        <is>
          <t>NET BOŞTA GEÇEN SÜRE ÜCRETİ</t>
        </is>
      </c>
      <c r="B9" s="7">
        <f>B5-B6-B7-B8</f>
        <v/>
      </c>
      <c r="C9" s="5" t="inlineStr">
        <is>
          <t>Net Tutar</t>
        </is>
      </c>
      <c r="D9" s="3" t="inlineStr">
        <is>
          <t>İşçiye ödenecek net boşta süre ücreti</t>
        </is>
      </c>
    </row>
    <row r="10">
      <c r="A10" s="3" t="inlineStr">
        <is>
          <t>İşe Başlatmama Tazminatı (Kıdeme Göre 4-8 Ay)</t>
        </is>
      </c>
      <c r="B10" s="4">
        <f>B4*5</f>
        <v/>
      </c>
      <c r="C10" s="5" t="inlineStr">
        <is>
          <t>5 Ay Takdir Edilen</t>
        </is>
      </c>
      <c r="D10" s="3" t="inlineStr">
        <is>
          <t>Mahkemenin takdir ettiği tazminat</t>
        </is>
      </c>
    </row>
    <row r="11">
      <c r="A11" s="3" t="inlineStr">
        <is>
          <t>İşe Başlatmama Tazminatı Damga Vergisi Kesintisi</t>
        </is>
      </c>
      <c r="B11" s="4">
        <f>B10*0.00759</f>
        <v/>
      </c>
      <c r="C11" s="5" t="inlineStr">
        <is>
          <t>Binde 7.59</t>
        </is>
      </c>
      <c r="D11" s="3" t="inlineStr">
        <is>
          <t>Yalnızca Damga Vergisi kesilir (GV yok!)</t>
        </is>
      </c>
    </row>
    <row r="12">
      <c r="A12" s="6" t="inlineStr">
        <is>
          <t>NET İŞE BAŞLATMAMA TAZMİNATI</t>
        </is>
      </c>
      <c r="B12" s="7">
        <f>B10-B11</f>
        <v/>
      </c>
      <c r="C12" s="5" t="inlineStr">
        <is>
          <t>Net Tutar</t>
        </is>
      </c>
      <c r="D12" s="3" t="inlineStr">
        <is>
          <t>İşçi işe alınmazsa ödenecek net tazminat</t>
        </is>
      </c>
    </row>
    <row r="13">
      <c r="A13" s="8" t="inlineStr">
        <is>
          <t>İŞE İADE DAVASI NET TOPLAM ALACAK</t>
        </is>
      </c>
      <c r="B13" s="9">
        <f>B9+B12</f>
        <v/>
      </c>
      <c r="C13" s="10" t="inlineStr">
        <is>
          <t>Genel Toplam</t>
        </is>
      </c>
      <c r="D13" s="11" t="inlineStr">
        <is>
          <t>Karar kesinleştiğinde talep edilen net tutar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2026-09-20T08:38:13Z</dcterms:created>
  <dcterms:modified xsi:type="dcterms:W3CDTF">2026-09-20T08:38:13Z</dcterms:modified>
</cp:coreProperties>
</file>