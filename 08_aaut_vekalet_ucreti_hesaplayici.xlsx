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ÜT Vekalet Ücr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TL&quot;"/>
    <numFmt numFmtId="165" formatCode="0.0%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F172A"/>
      <sz val="11"/>
    </font>
    <font>
      <name val="Segoe UI"/>
      <b val="1"/>
      <color rgb="00FFFFFF"/>
      <sz val="11"/>
    </font>
    <font>
      <name val="Segoe UI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881337"/>
        <bgColor rgb="00881337"/>
      </patternFill>
    </fill>
    <fill>
      <patternFill patternType="solid">
        <fgColor rgb="00EFF6FF"/>
        <bgColor rgb="00EFF6FF"/>
      </patternFill>
    </fill>
    <fill>
      <patternFill patternType="solid">
        <fgColor rgb="00FFF1F2"/>
        <bgColor rgb="00FFF1F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6" customWidth="1" min="1" max="1"/>
    <col width="21" customWidth="1" min="2" max="2"/>
    <col width="20" customWidth="1" min="3" max="3"/>
    <col width="32" customWidth="1" min="4" max="4"/>
    <col width="14" customWidth="1" min="5" max="5"/>
  </cols>
  <sheetData>
    <row r="1" ht="35" customHeight="1">
      <c r="A1" s="1" t="inlineStr">
        <is>
          <t>AVUKATLIK ASGARİ ÜCRET TARİFESİ (AAÜT) NİSPİ ÜCRET HESAPLAYICI</t>
        </is>
      </c>
    </row>
    <row r="2"/>
    <row r="3">
      <c r="A3" s="2" t="inlineStr">
        <is>
          <t>Dava / Uyuşmazlık Değeri (TL):</t>
        </is>
      </c>
      <c r="B3" s="3" t="n">
        <v>650000</v>
      </c>
    </row>
    <row r="4"/>
    <row r="5" ht="28" customHeight="1">
      <c r="A5" s="4" t="inlineStr">
        <is>
          <t>Dilim Aralığı</t>
        </is>
      </c>
      <c r="B5" s="4" t="inlineStr">
        <is>
          <t>Dilim Tutarı (TL)</t>
        </is>
      </c>
      <c r="C5" s="4" t="inlineStr">
        <is>
          <t>Tarife Oranı (%)</t>
        </is>
      </c>
      <c r="D5" s="4" t="inlineStr">
        <is>
          <t>Hesaplanan Dilim Ücreti (TL)</t>
        </is>
      </c>
      <c r="E5" s="4" t="inlineStr">
        <is>
          <t>Açıklama</t>
        </is>
      </c>
    </row>
    <row r="6">
      <c r="A6" s="5" t="inlineStr">
        <is>
          <t>İlk 200.000 TL için</t>
        </is>
      </c>
      <c r="B6" s="6" t="n">
        <v>200000</v>
      </c>
      <c r="C6" s="7" t="n">
        <v>0.16</v>
      </c>
      <c r="D6" s="6">
        <f>MIN($B$3, B6)*C6</f>
        <v/>
      </c>
      <c r="E6" s="5" t="inlineStr">
        <is>
          <t>1. Basamak</t>
        </is>
      </c>
    </row>
    <row r="7">
      <c r="A7" s="5" t="inlineStr">
        <is>
          <t>Sonraki 200.000 TL için (400.000 TL'ye kadar)</t>
        </is>
      </c>
      <c r="B7" s="6" t="n">
        <v>200000</v>
      </c>
      <c r="C7" s="7" t="n">
        <v>0.15</v>
      </c>
      <c r="D7" s="6">
        <f>MAX(0, MIN($B$3-200000, B7))*C7</f>
        <v/>
      </c>
      <c r="E7" s="5" t="inlineStr">
        <is>
          <t>2. Basamak</t>
        </is>
      </c>
    </row>
    <row r="8">
      <c r="A8" s="5" t="inlineStr">
        <is>
          <t>Sonraki 400.000 TL için (800.000 TL'ye kadar)</t>
        </is>
      </c>
      <c r="B8" s="6" t="n">
        <v>400000</v>
      </c>
      <c r="C8" s="7" t="n">
        <v>0.14</v>
      </c>
      <c r="D8" s="6">
        <f>MAX(0, MIN($B$3-400000, B8))*C8</f>
        <v/>
      </c>
      <c r="E8" s="5" t="inlineStr">
        <is>
          <t>3. Basamak</t>
        </is>
      </c>
    </row>
    <row r="9">
      <c r="A9" s="5" t="inlineStr">
        <is>
          <t>Sonraki 600.000 TL için (1.400.000 TL'ye kadar)</t>
        </is>
      </c>
      <c r="B9" s="6" t="n">
        <v>600000</v>
      </c>
      <c r="C9" s="7" t="n">
        <v>0.11</v>
      </c>
      <c r="D9" s="6">
        <f>MAX(0, MIN($B$3-800000, B9))*C9</f>
        <v/>
      </c>
      <c r="E9" s="5" t="inlineStr">
        <is>
          <t>4. Basamak</t>
        </is>
      </c>
    </row>
    <row r="10">
      <c r="A10" s="5" t="inlineStr">
        <is>
          <t>Sonraki 1.000.000 TL için (2.400.000 TL'ye kadar)</t>
        </is>
      </c>
      <c r="B10" s="6" t="n">
        <v>1000000</v>
      </c>
      <c r="C10" s="7" t="n">
        <v>0.08</v>
      </c>
      <c r="D10" s="6">
        <f>MAX(0, MIN($B$3-1400000, B10))*C10</f>
        <v/>
      </c>
      <c r="E10" s="5" t="inlineStr">
        <is>
          <t>5. Basamak</t>
        </is>
      </c>
    </row>
    <row r="11"/>
    <row r="12">
      <c r="A12" s="8" t="inlineStr">
        <is>
          <t>NİSPİ VEKALET ÜCRETİ (KDV HARİÇ)</t>
        </is>
      </c>
      <c r="B12" s="9" t="n"/>
      <c r="C12" s="9" t="n"/>
      <c r="D12" s="6">
        <f>SUM(D6:D10)</f>
        <v/>
      </c>
      <c r="E12" s="9" t="n"/>
    </row>
    <row r="13">
      <c r="A13" s="5" t="inlineStr">
        <is>
          <t>KDV Tutarı (%20)</t>
        </is>
      </c>
      <c r="B13" s="9" t="n"/>
      <c r="C13" s="9" t="n"/>
      <c r="D13" s="6">
        <f>D12*0.20</f>
        <v/>
      </c>
      <c r="E13" s="9" t="n"/>
    </row>
    <row r="14">
      <c r="A14" s="10" t="inlineStr">
        <is>
          <t>TOPLAM VEKALET ÜCRETİ (KDV DAHİL)</t>
        </is>
      </c>
      <c r="B14" s="10" t="n"/>
      <c r="C14" s="10" t="n"/>
      <c r="D14" s="11">
        <f>D12+D13</f>
        <v/>
      </c>
      <c r="E14" s="10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2026-09-20T08:38:13Z</dcterms:created>
  <dcterms:modified xsi:type="dcterms:W3CDTF">2026-09-20T08:38:13Z</dcterms:modified>
</cp:coreProperties>
</file>